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S/"/>
    </mc:Choice>
  </mc:AlternateContent>
  <xr:revisionPtr revIDLastSave="0" documentId="8_{0DA321BA-894D-EE4A-826D-517040600440}" xr6:coauthVersionLast="47" xr6:coauthVersionMax="47" xr10:uidLastSave="{00000000-0000-0000-0000-000000000000}"/>
  <bookViews>
    <workbookView xWindow="0" yWindow="500" windowWidth="35840" windowHeight="20220" xr2:uid="{00000000-000D-0000-FFFF-FFFF00000000}"/>
  </bookViews>
  <sheets>
    <sheet name="Comps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D7" i="1"/>
  <c r="G7" i="1" s="1"/>
  <c r="D6" i="1"/>
  <c r="G6" i="1" s="1"/>
  <c r="D5" i="1"/>
  <c r="G5" i="1" s="1"/>
  <c r="D4" i="1"/>
  <c r="G4" i="1" s="1"/>
  <c r="M4" i="1" l="1"/>
  <c r="L4" i="1"/>
  <c r="L9" i="1" s="1"/>
  <c r="K4" i="1"/>
  <c r="K9" i="1" s="1"/>
  <c r="K5" i="1"/>
  <c r="M5" i="1"/>
  <c r="L5" i="1"/>
  <c r="M6" i="1"/>
  <c r="L6" i="1"/>
  <c r="K6" i="1"/>
  <c r="M7" i="1"/>
  <c r="L7" i="1"/>
  <c r="K7" i="1"/>
  <c r="B5" i="2" l="1"/>
  <c r="B19" i="1"/>
  <c r="B24" i="1" s="1"/>
  <c r="B6" i="2"/>
  <c r="B20" i="1"/>
  <c r="B25" i="1" s="1"/>
  <c r="M9" i="1"/>
  <c r="B7" i="2" l="1"/>
  <c r="B21" i="1"/>
  <c r="B26" i="1" s="1"/>
</calcChain>
</file>

<file path=xl/sharedStrings.xml><?xml version="1.0" encoding="utf-8"?>
<sst xmlns="http://schemas.openxmlformats.org/spreadsheetml/2006/main" count="37" uniqueCount="33">
  <si>
    <t>Company</t>
  </si>
  <si>
    <t>Share Price</t>
  </si>
  <si>
    <t>Shares Outstanding</t>
  </si>
  <si>
    <t>Market Cap</t>
  </si>
  <si>
    <t>Debt</t>
  </si>
  <si>
    <t>Cash</t>
  </si>
  <si>
    <t>Enterprise Value</t>
  </si>
  <si>
    <t>Revenue</t>
  </si>
  <si>
    <t>EBITDA</t>
  </si>
  <si>
    <t>EBIT</t>
  </si>
  <si>
    <t>EV/ Revenue</t>
  </si>
  <si>
    <t>EV/ EBITDA</t>
  </si>
  <si>
    <t>EV/EBIT</t>
  </si>
  <si>
    <t>Company A</t>
  </si>
  <si>
    <t>Company B</t>
  </si>
  <si>
    <t>Company C</t>
  </si>
  <si>
    <t>Company D</t>
  </si>
  <si>
    <t xml:space="preserve">Median </t>
  </si>
  <si>
    <t xml:space="preserve">Target Company Valuation </t>
  </si>
  <si>
    <t xml:space="preserve">Target Revenue </t>
  </si>
  <si>
    <t>Target EBITDA</t>
  </si>
  <si>
    <t>Target EBIT</t>
  </si>
  <si>
    <t>Valuation Using Median Multiples</t>
  </si>
  <si>
    <t xml:space="preserve">EV/Revenue </t>
  </si>
  <si>
    <t>EV/EBITDA</t>
  </si>
  <si>
    <t xml:space="preserve">Implied Enterprise Value </t>
  </si>
  <si>
    <t>Comparable Companies Check</t>
  </si>
  <si>
    <t>Check</t>
  </si>
  <si>
    <t>Status</t>
  </si>
  <si>
    <t>Company Count</t>
  </si>
  <si>
    <t>Median EV/ Revenue</t>
  </si>
  <si>
    <t>Median EV/EBITDA</t>
  </si>
  <si>
    <t>Median EV/EBIT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</si>
</sst>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</font>
    <font>
      <sz val="12"/>
      <color rgb="FF000000"/>
      <name val="Aptos Narrow"/>
    </font>
    <font>
      <sz val="12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6"/>
  <sheetViews>
    <sheetView tabSelected="1" zoomScale="150" workbookViewId="0">
      <selection activeCell="E13" sqref="E13"/>
    </sheetView>
  </sheetViews>
  <sheetFormatPr baseColWidth="10" defaultRowHeight="16" x14ac:dyDescent="0.2"/>
  <cols>
    <col min="1" max="1" width="28.83203125" customWidth="1"/>
    <col min="3" max="3" width="18.33203125" customWidth="1"/>
    <col min="7" max="7" width="14.6640625" customWidth="1"/>
  </cols>
  <sheetData>
    <row r="3" spans="1:13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2">
      <c r="A4" s="1" t="s">
        <v>13</v>
      </c>
      <c r="B4" s="2">
        <v>25</v>
      </c>
      <c r="C4" s="2">
        <v>40</v>
      </c>
      <c r="D4" s="3">
        <f>B4*C4</f>
        <v>1000</v>
      </c>
      <c r="E4" s="2">
        <v>300</v>
      </c>
      <c r="F4" s="2">
        <v>100</v>
      </c>
      <c r="G4" s="3">
        <f>D4+E4-F4</f>
        <v>1200</v>
      </c>
      <c r="H4" s="2">
        <v>500</v>
      </c>
      <c r="I4" s="2">
        <v>100</v>
      </c>
      <c r="J4" s="2">
        <v>80</v>
      </c>
      <c r="K4" s="3">
        <f>G4/H4</f>
        <v>2.4</v>
      </c>
      <c r="L4" s="3">
        <f>G4/I4</f>
        <v>12</v>
      </c>
      <c r="M4" s="3">
        <f>G4/J4</f>
        <v>15</v>
      </c>
    </row>
    <row r="5" spans="1:13" x14ac:dyDescent="0.2">
      <c r="A5" s="1" t="s">
        <v>14</v>
      </c>
      <c r="B5" s="2">
        <v>30</v>
      </c>
      <c r="C5" s="2">
        <v>50</v>
      </c>
      <c r="D5" s="3">
        <f>B5*C5</f>
        <v>1500</v>
      </c>
      <c r="E5" s="2">
        <v>400</v>
      </c>
      <c r="F5" s="2">
        <v>150</v>
      </c>
      <c r="G5" s="3">
        <f>D5+E5-F5</f>
        <v>1750</v>
      </c>
      <c r="H5" s="2">
        <v>650</v>
      </c>
      <c r="I5" s="2">
        <v>130</v>
      </c>
      <c r="J5" s="2">
        <v>100</v>
      </c>
      <c r="K5" s="4">
        <f>G5/H5</f>
        <v>2.6923076923076925</v>
      </c>
      <c r="L5" s="4">
        <f>G5/I5</f>
        <v>13.461538461538462</v>
      </c>
      <c r="M5" s="3">
        <f>G5/J5</f>
        <v>17.5</v>
      </c>
    </row>
    <row r="6" spans="1:13" x14ac:dyDescent="0.2">
      <c r="A6" s="1" t="s">
        <v>15</v>
      </c>
      <c r="B6" s="2">
        <v>20</v>
      </c>
      <c r="C6" s="2">
        <v>60</v>
      </c>
      <c r="D6" s="3">
        <f>B6*C6</f>
        <v>1200</v>
      </c>
      <c r="E6" s="2">
        <v>350</v>
      </c>
      <c r="F6" s="2">
        <v>120</v>
      </c>
      <c r="G6" s="3">
        <f>D6+E6-F6</f>
        <v>1430</v>
      </c>
      <c r="H6" s="2">
        <v>700</v>
      </c>
      <c r="I6" s="2">
        <v>140</v>
      </c>
      <c r="J6" s="2">
        <v>110</v>
      </c>
      <c r="K6" s="4">
        <f>G6/H6</f>
        <v>2.0428571428571427</v>
      </c>
      <c r="L6" s="4">
        <f>G6/I6</f>
        <v>10.214285714285714</v>
      </c>
      <c r="M6" s="3">
        <f>G6/J6</f>
        <v>13</v>
      </c>
    </row>
    <row r="7" spans="1:13" x14ac:dyDescent="0.2">
      <c r="A7" s="1" t="s">
        <v>16</v>
      </c>
      <c r="B7" s="2">
        <v>35</v>
      </c>
      <c r="C7" s="2">
        <v>45</v>
      </c>
      <c r="D7" s="3">
        <f>B7*C7</f>
        <v>1575</v>
      </c>
      <c r="E7" s="2">
        <v>250</v>
      </c>
      <c r="F7" s="2">
        <v>80</v>
      </c>
      <c r="G7" s="3">
        <f>D7+E7-F7</f>
        <v>1745</v>
      </c>
      <c r="H7" s="2">
        <v>550</v>
      </c>
      <c r="I7" s="2">
        <v>110</v>
      </c>
      <c r="J7" s="2">
        <v>90</v>
      </c>
      <c r="K7" s="4">
        <f>G7/H7</f>
        <v>3.1727272727272728</v>
      </c>
      <c r="L7" s="4">
        <f>G7/I7</f>
        <v>15.863636363636363</v>
      </c>
      <c r="M7" s="4">
        <f>G7/J7</f>
        <v>19.388888888888889</v>
      </c>
    </row>
    <row r="8" spans="1:13" x14ac:dyDescent="0.2">
      <c r="A8" s="1"/>
    </row>
    <row r="9" spans="1:13" x14ac:dyDescent="0.2">
      <c r="A9" s="1" t="s">
        <v>17</v>
      </c>
      <c r="K9" s="4">
        <f>MEDIAN(K4:K7)</f>
        <v>2.546153846153846</v>
      </c>
      <c r="L9" s="4">
        <f>MEDIAN(L4:L7)</f>
        <v>12.73076923076923</v>
      </c>
      <c r="M9" s="3">
        <f>MEDIAN(M4:M7)</f>
        <v>16.25</v>
      </c>
    </row>
    <row r="12" spans="1:13" x14ac:dyDescent="0.2">
      <c r="A12" s="1" t="s">
        <v>18</v>
      </c>
    </row>
    <row r="13" spans="1:13" x14ac:dyDescent="0.2">
      <c r="A13" s="1"/>
    </row>
    <row r="14" spans="1:13" x14ac:dyDescent="0.2">
      <c r="A14" s="1" t="s">
        <v>19</v>
      </c>
      <c r="B14" s="2">
        <v>600</v>
      </c>
    </row>
    <row r="15" spans="1:13" x14ac:dyDescent="0.2">
      <c r="A15" s="1" t="s">
        <v>20</v>
      </c>
      <c r="B15" s="2">
        <v>120</v>
      </c>
    </row>
    <row r="16" spans="1:13" x14ac:dyDescent="0.2">
      <c r="A16" s="1" t="s">
        <v>21</v>
      </c>
      <c r="B16" s="2">
        <v>95</v>
      </c>
    </row>
    <row r="17" spans="1:2" x14ac:dyDescent="0.2">
      <c r="A17" s="1"/>
    </row>
    <row r="18" spans="1:2" x14ac:dyDescent="0.2">
      <c r="A18" s="1" t="s">
        <v>22</v>
      </c>
    </row>
    <row r="19" spans="1:2" x14ac:dyDescent="0.2">
      <c r="A19" s="1" t="s">
        <v>23</v>
      </c>
      <c r="B19" s="4">
        <f>$K$9*B14</f>
        <v>1527.6923076923076</v>
      </c>
    </row>
    <row r="20" spans="1:2" x14ac:dyDescent="0.2">
      <c r="A20" s="1" t="s">
        <v>24</v>
      </c>
      <c r="B20" s="4">
        <f>$L$9*B15</f>
        <v>1527.6923076923076</v>
      </c>
    </row>
    <row r="21" spans="1:2" x14ac:dyDescent="0.2">
      <c r="A21" s="1" t="s">
        <v>12</v>
      </c>
      <c r="B21" s="3">
        <f>$M$9*B16</f>
        <v>1543.75</v>
      </c>
    </row>
    <row r="22" spans="1:2" x14ac:dyDescent="0.2">
      <c r="A22" s="1"/>
    </row>
    <row r="23" spans="1:2" x14ac:dyDescent="0.2">
      <c r="A23" s="1" t="s">
        <v>25</v>
      </c>
    </row>
    <row r="24" spans="1:2" x14ac:dyDescent="0.2">
      <c r="A24" s="1" t="s">
        <v>10</v>
      </c>
      <c r="B24" s="4">
        <f>B19</f>
        <v>1527.6923076923076</v>
      </c>
    </row>
    <row r="25" spans="1:2" x14ac:dyDescent="0.2">
      <c r="A25" s="1" t="s">
        <v>24</v>
      </c>
      <c r="B25" s="4">
        <f>B20</f>
        <v>1527.6923076923076</v>
      </c>
    </row>
    <row r="26" spans="1:2" x14ac:dyDescent="0.2">
      <c r="A26" s="1" t="s">
        <v>12</v>
      </c>
      <c r="B26" s="3">
        <f>B21</f>
        <v>1543.75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176" workbookViewId="0">
      <selection activeCell="B8" sqref="B8"/>
    </sheetView>
  </sheetViews>
  <sheetFormatPr baseColWidth="10" defaultRowHeight="16" x14ac:dyDescent="0.2"/>
  <cols>
    <col min="1" max="1" width="27.83203125" customWidth="1"/>
  </cols>
  <sheetData>
    <row r="1" spans="1:2" x14ac:dyDescent="0.2">
      <c r="A1" t="s">
        <v>26</v>
      </c>
    </row>
    <row r="3" spans="1:2" x14ac:dyDescent="0.2">
      <c r="A3" t="s">
        <v>27</v>
      </c>
      <c r="B3" t="s">
        <v>28</v>
      </c>
    </row>
    <row r="4" spans="1:2" x14ac:dyDescent="0.2">
      <c r="A4" t="s">
        <v>29</v>
      </c>
      <c r="B4" s="5" t="str">
        <f>IF(COUNTA(Comps!A4:A7)=4,"OK","CHECK")</f>
        <v>OK</v>
      </c>
    </row>
    <row r="5" spans="1:2" x14ac:dyDescent="0.2">
      <c r="A5" t="s">
        <v>30</v>
      </c>
      <c r="B5" s="5" t="str">
        <f>IF(Comps!K9&gt;0,"OK","CHECK")</f>
        <v>OK</v>
      </c>
    </row>
    <row r="6" spans="1:2" x14ac:dyDescent="0.2">
      <c r="A6" t="s">
        <v>31</v>
      </c>
      <c r="B6" s="5" t="str">
        <f>IF(Comps!L9&gt;0,"OK","CHECK")</f>
        <v>OK</v>
      </c>
    </row>
    <row r="7" spans="1:2" x14ac:dyDescent="0.2">
      <c r="A7" t="s">
        <v>32</v>
      </c>
      <c r="B7" s="5" t="str">
        <f>IF(Comps!M9&gt;0,"OK","CHECK")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2026-09-25T09:43:14Z</dcterms:created>
  <dcterms:modified xsi:type="dcterms:W3CDTF">2026-09-25T18:01:06Z</dcterms:modified>
</cp:coreProperties>
</file>