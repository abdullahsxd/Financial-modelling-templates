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S/"/>
    </mc:Choice>
  </mc:AlternateContent>
  <xr:revisionPtr revIDLastSave="0" documentId="8_{D7D625B6-A4D5-194E-8774-48AF6EDDFFB7}" xr6:coauthVersionLast="47" xr6:coauthVersionMax="47" xr10:uidLastSave="{00000000-0000-0000-0000-000000000000}"/>
  <bookViews>
    <workbookView xWindow="0" yWindow="500" windowWidth="35840" windowHeight="20220" xr2:uid="{00000000-000D-0000-FFFF-FFFF00000000}"/>
  </bookViews>
  <sheets>
    <sheet name="LBO" sheetId="1" r:id="rId1"/>
    <sheet name="Assumptions" sheetId="2" r:id="rId2"/>
    <sheet name="Che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5" i="2"/>
  <c r="B3" i="3" s="1"/>
  <c r="B16" i="1"/>
  <c r="B8" i="1"/>
  <c r="B7" i="1"/>
  <c r="B6" i="1"/>
  <c r="C5" i="1"/>
  <c r="C4" i="1"/>
  <c r="D4" i="1" s="1"/>
  <c r="D7" i="1" l="1"/>
  <c r="D5" i="1"/>
  <c r="E4" i="1"/>
  <c r="C6" i="1"/>
  <c r="B8" i="2"/>
  <c r="B24" i="1" s="1"/>
  <c r="B4" i="3"/>
  <c r="C7" i="1"/>
  <c r="C8" i="1" s="1"/>
  <c r="B17" i="1"/>
  <c r="B18" i="1" s="1"/>
  <c r="C16" i="1" s="1"/>
  <c r="C17" i="1" l="1"/>
  <c r="C18" i="1" s="1"/>
  <c r="B19" i="1"/>
  <c r="B9" i="1" s="1"/>
  <c r="B10" i="1" s="1"/>
  <c r="F4" i="1"/>
  <c r="E7" i="1"/>
  <c r="E5" i="1"/>
  <c r="D6" i="1"/>
  <c r="D8" i="1"/>
  <c r="D16" i="1" l="1"/>
  <c r="C19" i="1"/>
  <c r="C9" i="1" s="1"/>
  <c r="C10" i="1" s="1"/>
  <c r="E6" i="1"/>
  <c r="E8" i="1"/>
  <c r="F7" i="1"/>
  <c r="F5" i="1"/>
  <c r="B11" i="1"/>
  <c r="B12" i="1" s="1"/>
  <c r="F8" i="1" l="1"/>
  <c r="F6" i="1"/>
  <c r="B25" i="1"/>
  <c r="C11" i="1"/>
  <c r="C12" i="1" s="1"/>
  <c r="D17" i="1"/>
  <c r="D18" i="1" s="1"/>
  <c r="E16" i="1" l="1"/>
  <c r="D19" i="1"/>
  <c r="D9" i="1" s="1"/>
  <c r="D10" i="1" s="1"/>
  <c r="B5" i="3"/>
  <c r="D11" i="1" l="1"/>
  <c r="D12" i="1" s="1"/>
  <c r="E17" i="1"/>
  <c r="E18" i="1" s="1"/>
  <c r="F16" i="1" l="1"/>
  <c r="E19" i="1"/>
  <c r="E9" i="1" s="1"/>
  <c r="E10" i="1" s="1"/>
  <c r="E11" i="1" l="1"/>
  <c r="E12" i="1" s="1"/>
  <c r="F17" i="1"/>
  <c r="F18" i="1" s="1"/>
  <c r="B26" i="1" l="1"/>
  <c r="B27" i="1" s="1"/>
  <c r="F19" i="1"/>
  <c r="F9" i="1" s="1"/>
  <c r="F10" i="1" s="1"/>
  <c r="F11" i="1" l="1"/>
  <c r="F12" i="1"/>
  <c r="B6" i="3"/>
  <c r="B28" i="1"/>
  <c r="B29" i="1"/>
</calcChain>
</file>

<file path=xl/sharedStrings.xml><?xml version="1.0" encoding="utf-8"?>
<sst xmlns="http://schemas.openxmlformats.org/spreadsheetml/2006/main" count="43" uniqueCount="41">
  <si>
    <t>Year 1</t>
  </si>
  <si>
    <t>Year 2</t>
  </si>
  <si>
    <t>Year 3</t>
  </si>
  <si>
    <t>Year 4</t>
  </si>
  <si>
    <t>Year 5</t>
  </si>
  <si>
    <t xml:space="preserve">Revenue </t>
  </si>
  <si>
    <t>EBITDA</t>
  </si>
  <si>
    <t>EBITDA Margin</t>
  </si>
  <si>
    <t>Depreciation</t>
  </si>
  <si>
    <t>EBIT</t>
  </si>
  <si>
    <t>Interest expense</t>
  </si>
  <si>
    <t>EBT</t>
  </si>
  <si>
    <t>Taxes</t>
  </si>
  <si>
    <t>Net Income</t>
  </si>
  <si>
    <t xml:space="preserve">Debt and Schedule </t>
  </si>
  <si>
    <t>Beginning Debt</t>
  </si>
  <si>
    <t>Debt Paydown</t>
  </si>
  <si>
    <t>Ending Debt</t>
  </si>
  <si>
    <t>Sponsor Returns</t>
  </si>
  <si>
    <t>Entry Sponsor Equity</t>
  </si>
  <si>
    <t>Exit Enterprise Value</t>
  </si>
  <si>
    <t>Exit Debt</t>
  </si>
  <si>
    <t>Exit Equity Value</t>
  </si>
  <si>
    <t>MOIC</t>
  </si>
  <si>
    <t>IRR</t>
  </si>
  <si>
    <t>LBO Model Assumptions</t>
  </si>
  <si>
    <t>Entry EBITDA</t>
  </si>
  <si>
    <t>Entry EV/EBITDA</t>
  </si>
  <si>
    <t xml:space="preserve">Entry Enterprise Value </t>
  </si>
  <si>
    <t>Debt/ EBITDA</t>
  </si>
  <si>
    <t>Entry Debt</t>
  </si>
  <si>
    <t>Sponsor Equity</t>
  </si>
  <si>
    <t>Exit EV/ EBITDA</t>
  </si>
  <si>
    <t>Holding Period</t>
  </si>
  <si>
    <t>Interest Rate</t>
  </si>
  <si>
    <t>Tax Rate</t>
  </si>
  <si>
    <t xml:space="preserve">LBO Model Checks </t>
  </si>
  <si>
    <t>Entry EV Check</t>
  </si>
  <si>
    <t>Entry Debt Check</t>
  </si>
  <si>
    <t>Exit EV Check</t>
  </si>
  <si>
    <t>Exit Equity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</si>
</sst>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FF"/>
      <name val="Aptos Narrow"/>
    </font>
    <font>
      <sz val="12"/>
      <color rgb="FF000000"/>
      <name val="Aptos Narrow"/>
    </font>
    <font>
      <sz val="12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/>
    <xf numFmtId="0" fontId="2" fillId="0" borderId="0" xfId="0" applyFont="1"/>
    <xf numFmtId="0" fontId="4" fillId="0" borderId="0" xfId="0" applyFont="1"/>
    <xf numFmtId="2" fontId="4" fillId="0" borderId="0" xfId="0" applyNumberFormat="1" applyFont="1"/>
    <xf numFmtId="10" fontId="4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9"/>
  <sheetViews>
    <sheetView tabSelected="1" zoomScale="194" workbookViewId="0">
      <selection activeCell="C22" sqref="C22"/>
    </sheetView>
  </sheetViews>
  <sheetFormatPr baseColWidth="10" defaultRowHeight="16" x14ac:dyDescent="0.2"/>
  <cols>
    <col min="1" max="1" width="22.33203125" customWidth="1"/>
  </cols>
  <sheetData>
    <row r="3" spans="1:6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x14ac:dyDescent="0.2">
      <c r="A4" s="2" t="s">
        <v>5</v>
      </c>
      <c r="B4" s="3">
        <v>100</v>
      </c>
      <c r="C4" s="4">
        <f>B4*1.08</f>
        <v>108</v>
      </c>
      <c r="D4" s="4">
        <f>C4*1.08</f>
        <v>116.64000000000001</v>
      </c>
      <c r="E4" s="5">
        <f>D4*1.08</f>
        <v>125.97120000000002</v>
      </c>
      <c r="F4" s="5">
        <f>E4*1.08</f>
        <v>136.04889600000004</v>
      </c>
    </row>
    <row r="5" spans="1:6" x14ac:dyDescent="0.2">
      <c r="A5" s="2" t="s">
        <v>6</v>
      </c>
      <c r="B5" s="6">
        <v>30</v>
      </c>
      <c r="C5" s="4">
        <f>C4*30%</f>
        <v>32.4</v>
      </c>
      <c r="D5" s="5">
        <f>D4*30%</f>
        <v>34.992000000000004</v>
      </c>
      <c r="E5" s="5">
        <f>E4*30%</f>
        <v>37.791360000000005</v>
      </c>
      <c r="F5" s="5">
        <f>F4*30%</f>
        <v>40.814668800000014</v>
      </c>
    </row>
    <row r="6" spans="1:6" x14ac:dyDescent="0.2">
      <c r="A6" s="2" t="s">
        <v>7</v>
      </c>
      <c r="B6" s="4">
        <f>B5/B4</f>
        <v>0.3</v>
      </c>
      <c r="C6" s="4">
        <f>C5/C4</f>
        <v>0.3</v>
      </c>
      <c r="D6" s="4">
        <f>D5/D4</f>
        <v>0.3</v>
      </c>
      <c r="E6" s="4">
        <f>E5/E4</f>
        <v>0.3</v>
      </c>
      <c r="F6" s="4">
        <f>F5/F4</f>
        <v>0.3</v>
      </c>
    </row>
    <row r="7" spans="1:6" x14ac:dyDescent="0.2">
      <c r="A7" s="2" t="s">
        <v>8</v>
      </c>
      <c r="B7" s="4">
        <f>B4*3%</f>
        <v>3</v>
      </c>
      <c r="C7" s="5">
        <f>C4*3%</f>
        <v>3.2399999999999998</v>
      </c>
      <c r="D7" s="5">
        <f>D4*3%</f>
        <v>3.4992000000000005</v>
      </c>
      <c r="E7" s="5">
        <f>E4*3%</f>
        <v>3.7791360000000007</v>
      </c>
      <c r="F7" s="5">
        <f>F4*3%</f>
        <v>4.0814668800000007</v>
      </c>
    </row>
    <row r="8" spans="1:6" x14ac:dyDescent="0.2">
      <c r="A8" s="2" t="s">
        <v>9</v>
      </c>
      <c r="B8" s="4">
        <f>B5-B7</f>
        <v>27</v>
      </c>
      <c r="C8" s="4">
        <f>C5-C7</f>
        <v>29.16</v>
      </c>
      <c r="D8" s="5">
        <f>D5-D7</f>
        <v>31.492800000000003</v>
      </c>
      <c r="E8" s="5">
        <f>E5-E7</f>
        <v>34.012224000000003</v>
      </c>
      <c r="F8" s="5">
        <f>F5-F7</f>
        <v>36.733201920000013</v>
      </c>
    </row>
    <row r="9" spans="1:6" x14ac:dyDescent="0.2">
      <c r="A9" s="2" t="s">
        <v>10</v>
      </c>
      <c r="B9" s="4">
        <f>B19</f>
        <v>8.64</v>
      </c>
      <c r="C9" s="4">
        <f>C19</f>
        <v>6.72</v>
      </c>
      <c r="D9" s="4">
        <f>D19</f>
        <v>4.8</v>
      </c>
      <c r="E9" s="4">
        <f>E19</f>
        <v>2.88</v>
      </c>
      <c r="F9" s="4">
        <f>F19</f>
        <v>0.96</v>
      </c>
    </row>
    <row r="10" spans="1:6" x14ac:dyDescent="0.2">
      <c r="A10" s="2" t="s">
        <v>11</v>
      </c>
      <c r="B10" s="4">
        <f>B8-B9</f>
        <v>18.36</v>
      </c>
      <c r="C10" s="4">
        <f>C8-C9</f>
        <v>22.44</v>
      </c>
      <c r="D10" s="5">
        <f>D8-D9</f>
        <v>26.692800000000002</v>
      </c>
      <c r="E10" s="5">
        <f>E8-E9</f>
        <v>31.132224000000004</v>
      </c>
      <c r="F10" s="5">
        <f>F8-F9</f>
        <v>35.773201920000012</v>
      </c>
    </row>
    <row r="11" spans="1:6" x14ac:dyDescent="0.2">
      <c r="A11" s="2" t="s">
        <v>12</v>
      </c>
      <c r="B11" s="7">
        <f>B10*Assumptions!$B$12</f>
        <v>4.59</v>
      </c>
      <c r="C11" s="7">
        <f>C10*Assumptions!$B$12</f>
        <v>5.61</v>
      </c>
      <c r="D11" s="8">
        <f>D10*Assumptions!$B$12</f>
        <v>6.6732000000000005</v>
      </c>
      <c r="E11" s="8">
        <f>E10*Assumptions!$B$12</f>
        <v>7.7830560000000011</v>
      </c>
      <c r="F11" s="8">
        <f>F10*Assumptions!$B$12</f>
        <v>8.9433004800000031</v>
      </c>
    </row>
    <row r="12" spans="1:6" x14ac:dyDescent="0.2">
      <c r="A12" s="2" t="s">
        <v>13</v>
      </c>
      <c r="B12" s="4">
        <f>B10-B11</f>
        <v>13.77</v>
      </c>
      <c r="C12" s="4">
        <f>C10-C11</f>
        <v>16.830000000000002</v>
      </c>
      <c r="D12" s="5">
        <f>D10-D11</f>
        <v>20.019600000000001</v>
      </c>
      <c r="E12" s="5">
        <f>E10-E11</f>
        <v>23.349168000000002</v>
      </c>
      <c r="F12" s="5">
        <f>F10-F11</f>
        <v>26.829901440000008</v>
      </c>
    </row>
    <row r="13" spans="1:6" x14ac:dyDescent="0.2">
      <c r="A13" s="2"/>
      <c r="B13" s="1"/>
    </row>
    <row r="14" spans="1:6" x14ac:dyDescent="0.2">
      <c r="A14" s="2"/>
    </row>
    <row r="15" spans="1:6" x14ac:dyDescent="0.2">
      <c r="A15" s="2" t="s">
        <v>14</v>
      </c>
    </row>
    <row r="16" spans="1:6" x14ac:dyDescent="0.2">
      <c r="A16" s="2" t="s">
        <v>15</v>
      </c>
      <c r="B16" s="7">
        <f>Assumptions!B7</f>
        <v>120</v>
      </c>
      <c r="C16" s="4">
        <f>B18</f>
        <v>96</v>
      </c>
      <c r="D16" s="4">
        <f>C18</f>
        <v>72</v>
      </c>
      <c r="E16" s="4">
        <f>D18</f>
        <v>48</v>
      </c>
      <c r="F16" s="4">
        <f>E18</f>
        <v>24</v>
      </c>
    </row>
    <row r="17" spans="1:6" x14ac:dyDescent="0.2">
      <c r="A17" s="2" t="s">
        <v>16</v>
      </c>
      <c r="B17" s="7">
        <f>MIN(Assumptions!$B$7*Assumptions!$B$13,B16)</f>
        <v>24</v>
      </c>
      <c r="C17" s="7">
        <f>MIN(Assumptions!$B$7*Assumptions!$B$13,C16)</f>
        <v>24</v>
      </c>
      <c r="D17" s="7">
        <f>MIN(Assumptions!$B$7*Assumptions!$B$13,D16)</f>
        <v>24</v>
      </c>
      <c r="E17" s="7">
        <f>MIN(Assumptions!$B$7*Assumptions!$B$13,E16)</f>
        <v>24</v>
      </c>
      <c r="F17" s="7">
        <f>MIN(Assumptions!$B$7*Assumptions!$B$13,F16)</f>
        <v>24</v>
      </c>
    </row>
    <row r="18" spans="1:6" x14ac:dyDescent="0.2">
      <c r="A18" s="2" t="s">
        <v>17</v>
      </c>
      <c r="B18" s="4">
        <f>B16-B17</f>
        <v>96</v>
      </c>
      <c r="C18" s="4">
        <f>C16-C17</f>
        <v>72</v>
      </c>
      <c r="D18" s="4">
        <f>D16-D17</f>
        <v>48</v>
      </c>
      <c r="E18" s="4">
        <f>E16-E17</f>
        <v>24</v>
      </c>
      <c r="F18" s="4">
        <f>F16-F17</f>
        <v>0</v>
      </c>
    </row>
    <row r="19" spans="1:6" x14ac:dyDescent="0.2">
      <c r="A19" s="2" t="s">
        <v>10</v>
      </c>
      <c r="B19" s="7">
        <f>AVERAGE(B16,B18)*Assumptions!$B$11</f>
        <v>8.64</v>
      </c>
      <c r="C19" s="7">
        <f>AVERAGE(C16,C18)*Assumptions!$B$11</f>
        <v>6.72</v>
      </c>
      <c r="D19" s="7">
        <f>AVERAGE(D16,D18)*Assumptions!$B$11</f>
        <v>4.8</v>
      </c>
      <c r="E19" s="7">
        <f>AVERAGE(E16,E18)*Assumptions!$B$11</f>
        <v>2.88</v>
      </c>
      <c r="F19" s="7">
        <f>AVERAGE(F16,F18)*Assumptions!$B$11</f>
        <v>0.96</v>
      </c>
    </row>
    <row r="20" spans="1:6" x14ac:dyDescent="0.2">
      <c r="A20" s="2"/>
    </row>
    <row r="21" spans="1:6" x14ac:dyDescent="0.2">
      <c r="A21" s="2"/>
    </row>
    <row r="22" spans="1:6" x14ac:dyDescent="0.2">
      <c r="A22" s="2" t="s">
        <v>18</v>
      </c>
    </row>
    <row r="23" spans="1:6" x14ac:dyDescent="0.2">
      <c r="A23" s="2"/>
    </row>
    <row r="24" spans="1:6" x14ac:dyDescent="0.2">
      <c r="A24" s="2" t="s">
        <v>19</v>
      </c>
      <c r="B24" s="7">
        <f>Assumptions!B8</f>
        <v>120</v>
      </c>
    </row>
    <row r="25" spans="1:6" x14ac:dyDescent="0.2">
      <c r="A25" s="2" t="s">
        <v>20</v>
      </c>
      <c r="B25" s="8">
        <f>F5*Assumptions!B9</f>
        <v>326.51735040000011</v>
      </c>
    </row>
    <row r="26" spans="1:6" x14ac:dyDescent="0.2">
      <c r="A26" s="2" t="s">
        <v>21</v>
      </c>
      <c r="B26" s="4">
        <f>F18</f>
        <v>0</v>
      </c>
    </row>
    <row r="27" spans="1:6" x14ac:dyDescent="0.2">
      <c r="A27" s="2" t="s">
        <v>22</v>
      </c>
      <c r="B27" s="5">
        <f>B25-B26</f>
        <v>326.51735040000011</v>
      </c>
    </row>
    <row r="28" spans="1:6" x14ac:dyDescent="0.2">
      <c r="A28" s="2" t="s">
        <v>23</v>
      </c>
      <c r="B28" s="5">
        <f>B27/B24</f>
        <v>2.720977920000001</v>
      </c>
    </row>
    <row r="29" spans="1:6" x14ac:dyDescent="0.2">
      <c r="A29" s="2" t="s">
        <v>24</v>
      </c>
      <c r="B29" s="9">
        <f>(B27/B24)^(1/Assumptions!B10)-1</f>
        <v>0.22164494849777205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165" workbookViewId="0">
      <selection activeCell="D18" sqref="D18"/>
    </sheetView>
  </sheetViews>
  <sheetFormatPr baseColWidth="10" defaultRowHeight="16" x14ac:dyDescent="0.2"/>
  <cols>
    <col min="1" max="1" width="25.33203125" customWidth="1"/>
  </cols>
  <sheetData>
    <row r="1" spans="1:2" x14ac:dyDescent="0.2">
      <c r="A1" t="s">
        <v>25</v>
      </c>
    </row>
    <row r="3" spans="1:2" x14ac:dyDescent="0.2">
      <c r="A3" t="s">
        <v>26</v>
      </c>
      <c r="B3" s="6">
        <v>30</v>
      </c>
    </row>
    <row r="4" spans="1:2" x14ac:dyDescent="0.2">
      <c r="A4" t="s">
        <v>27</v>
      </c>
      <c r="B4" s="10">
        <v>8</v>
      </c>
    </row>
    <row r="5" spans="1:2" x14ac:dyDescent="0.2">
      <c r="A5" t="s">
        <v>28</v>
      </c>
      <c r="B5" s="4">
        <f>B3*B4</f>
        <v>240</v>
      </c>
    </row>
    <row r="6" spans="1:2" x14ac:dyDescent="0.2">
      <c r="A6" t="s">
        <v>29</v>
      </c>
      <c r="B6" s="11">
        <v>4</v>
      </c>
    </row>
    <row r="7" spans="1:2" x14ac:dyDescent="0.2">
      <c r="A7" t="s">
        <v>30</v>
      </c>
      <c r="B7" s="4">
        <f>B3*B6</f>
        <v>120</v>
      </c>
    </row>
    <row r="8" spans="1:2" x14ac:dyDescent="0.2">
      <c r="A8" t="s">
        <v>31</v>
      </c>
      <c r="B8" s="4">
        <f>B5-B7</f>
        <v>120</v>
      </c>
    </row>
    <row r="9" spans="1:2" x14ac:dyDescent="0.2">
      <c r="A9" t="s">
        <v>32</v>
      </c>
      <c r="B9" s="11">
        <v>8</v>
      </c>
    </row>
    <row r="10" spans="1:2" x14ac:dyDescent="0.2">
      <c r="A10" t="s">
        <v>33</v>
      </c>
      <c r="B10" s="6">
        <v>5</v>
      </c>
    </row>
    <row r="11" spans="1:2" x14ac:dyDescent="0.2">
      <c r="A11" t="s">
        <v>34</v>
      </c>
      <c r="B11" s="12">
        <v>0.08</v>
      </c>
    </row>
    <row r="12" spans="1:2" x14ac:dyDescent="0.2">
      <c r="A12" t="s">
        <v>35</v>
      </c>
      <c r="B12" s="12">
        <v>0.25</v>
      </c>
    </row>
    <row r="13" spans="1:2" x14ac:dyDescent="0.2">
      <c r="A13" t="s">
        <v>16</v>
      </c>
      <c r="B13" s="1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42" workbookViewId="0">
      <selection activeCell="B7" sqref="B7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s="2" t="s">
        <v>36</v>
      </c>
    </row>
    <row r="3" spans="1:2" x14ac:dyDescent="0.2">
      <c r="A3" t="s">
        <v>37</v>
      </c>
      <c r="B3" s="7" t="str">
        <f>IF(Assumptions!B5=Assumptions!B3*Assumptions!B4,"OK","CHECK")</f>
        <v>OK</v>
      </c>
    </row>
    <row r="4" spans="1:2" x14ac:dyDescent="0.2">
      <c r="A4" t="s">
        <v>38</v>
      </c>
      <c r="B4" s="7" t="str">
        <f>IF(Assumptions!B7=Assumptions!B3*Assumptions!B6,"OK","CHECK")</f>
        <v>OK</v>
      </c>
    </row>
    <row r="5" spans="1:2" x14ac:dyDescent="0.2">
      <c r="A5" t="s">
        <v>39</v>
      </c>
      <c r="B5" s="7" t="str">
        <f>IF(LBO!B25=LBO!F5*Assumptions!B9,"OK","CHECK")</f>
        <v>OK</v>
      </c>
    </row>
    <row r="6" spans="1:2" x14ac:dyDescent="0.2">
      <c r="A6" t="s">
        <v>40</v>
      </c>
      <c r="B6" s="7" t="str">
        <f>IF(LBO!B27=LBO!B25-LBO!B26,"OK","CHECK")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LBO</vt:lpstr>
      <vt:lpstr>Assumptions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2026-09-25T10:12:46Z</dcterms:created>
  <dcterms:modified xsi:type="dcterms:W3CDTF">2026-09-25T18:00:45Z</dcterms:modified>
</cp:coreProperties>
</file>