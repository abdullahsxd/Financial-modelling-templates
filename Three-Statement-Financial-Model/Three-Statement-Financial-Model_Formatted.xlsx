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S/"/>
    </mc:Choice>
  </mc:AlternateContent>
  <xr:revisionPtr revIDLastSave="0" documentId="8_{0BE06B7D-1AA8-1443-951C-91ED0306F097}" xr6:coauthVersionLast="47" xr6:coauthVersionMax="47" xr10:uidLastSave="{00000000-0000-0000-0000-000000000000}"/>
  <bookViews>
    <workbookView xWindow="0" yWindow="500" windowWidth="35840" windowHeight="20220" activeTab="3" xr2:uid="{00000000-000D-0000-FFFF-FFFF00000000}"/>
  </bookViews>
  <sheets>
    <sheet name="Models" sheetId="1" r:id="rId1"/>
    <sheet name="Assumptions" sheetId="2" r:id="rId2"/>
    <sheet name="Checks" sheetId="3" r:id="rId3"/>
    <sheet name="DC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B32" i="4" s="1"/>
  <c r="F20" i="4"/>
  <c r="E20" i="4"/>
  <c r="D20" i="4"/>
  <c r="C20" i="4"/>
  <c r="B20" i="4"/>
  <c r="B3" i="4"/>
  <c r="B14" i="2"/>
  <c r="F34" i="1"/>
  <c r="E34" i="1"/>
  <c r="D34" i="1"/>
  <c r="C34" i="1"/>
  <c r="B34" i="1"/>
  <c r="B31" i="1"/>
  <c r="B19" i="1" s="1"/>
  <c r="B29" i="1"/>
  <c r="C22" i="1"/>
  <c r="D22" i="1" s="1"/>
  <c r="B18" i="1"/>
  <c r="B30" i="1" s="1"/>
  <c r="B11" i="4" s="1"/>
  <c r="C10" i="1"/>
  <c r="D10" i="1" s="1"/>
  <c r="E10" i="1" s="1"/>
  <c r="F10" i="1" s="1"/>
  <c r="B8" i="1"/>
  <c r="B5" i="4" s="1"/>
  <c r="B9" i="4" s="1"/>
  <c r="F7" i="1"/>
  <c r="E7" i="1"/>
  <c r="D7" i="1"/>
  <c r="C7" i="1"/>
  <c r="B7" i="1"/>
  <c r="B6" i="1" s="1"/>
  <c r="F5" i="1"/>
  <c r="E5" i="1"/>
  <c r="D5" i="1"/>
  <c r="C5" i="1"/>
  <c r="C4" i="1" s="1"/>
  <c r="B4" i="4" l="1"/>
  <c r="B9" i="1"/>
  <c r="C6" i="1"/>
  <c r="C31" i="1"/>
  <c r="D4" i="1"/>
  <c r="C3" i="4"/>
  <c r="C18" i="1"/>
  <c r="C30" i="1" s="1"/>
  <c r="C11" i="4" s="1"/>
  <c r="C8" i="1"/>
  <c r="E22" i="1"/>
  <c r="C19" i="1"/>
  <c r="B33" i="1"/>
  <c r="B10" i="4"/>
  <c r="F22" i="1" l="1"/>
  <c r="C29" i="1"/>
  <c r="C5" i="4"/>
  <c r="C9" i="4" s="1"/>
  <c r="D8" i="1"/>
  <c r="D18" i="1"/>
  <c r="D30" i="1" s="1"/>
  <c r="D11" i="4" s="1"/>
  <c r="E4" i="1"/>
  <c r="D31" i="1"/>
  <c r="D3" i="4"/>
  <c r="D6" i="1"/>
  <c r="C10" i="4"/>
  <c r="C33" i="1"/>
  <c r="C4" i="4"/>
  <c r="C9" i="1"/>
  <c r="B11" i="1"/>
  <c r="B6" i="4"/>
  <c r="D4" i="4" l="1"/>
  <c r="D9" i="1"/>
  <c r="D29" i="1"/>
  <c r="D5" i="4"/>
  <c r="D9" i="4" s="1"/>
  <c r="B7" i="4"/>
  <c r="B8" i="4" s="1"/>
  <c r="B12" i="4" s="1"/>
  <c r="B21" i="4" s="1"/>
  <c r="D10" i="4"/>
  <c r="D33" i="1"/>
  <c r="E8" i="1"/>
  <c r="F4" i="1"/>
  <c r="E3" i="4"/>
  <c r="E31" i="1"/>
  <c r="E6" i="1"/>
  <c r="E18" i="1"/>
  <c r="E30" i="1" s="1"/>
  <c r="E11" i="4" s="1"/>
  <c r="C11" i="1"/>
  <c r="C6" i="4"/>
  <c r="B12" i="1"/>
  <c r="B13" i="1" s="1"/>
  <c r="D19" i="1"/>
  <c r="B28" i="1" l="1"/>
  <c r="B32" i="1" s="1"/>
  <c r="B35" i="1" s="1"/>
  <c r="B17" i="1" s="1"/>
  <c r="B23" i="1"/>
  <c r="E33" i="1"/>
  <c r="E10" i="4"/>
  <c r="E19" i="1"/>
  <c r="F19" i="1" s="1"/>
  <c r="C7" i="4"/>
  <c r="C8" i="4" s="1"/>
  <c r="C12" i="4" s="1"/>
  <c r="C21" i="4" s="1"/>
  <c r="E5" i="4"/>
  <c r="E9" i="4" s="1"/>
  <c r="E29" i="1"/>
  <c r="C12" i="1"/>
  <c r="C13" i="1"/>
  <c r="C28" i="1" s="1"/>
  <c r="C32" i="1" s="1"/>
  <c r="C35" i="1" s="1"/>
  <c r="F18" i="1"/>
  <c r="F30" i="1" s="1"/>
  <c r="F11" i="4" s="1"/>
  <c r="F3" i="4"/>
  <c r="F31" i="1"/>
  <c r="F6" i="1"/>
  <c r="F8" i="1"/>
  <c r="D6" i="4"/>
  <c r="D11" i="1"/>
  <c r="E9" i="1"/>
  <c r="E4" i="4"/>
  <c r="E6" i="4" l="1"/>
  <c r="E11" i="1"/>
  <c r="D7" i="4"/>
  <c r="D8" i="4" s="1"/>
  <c r="D12" i="4" s="1"/>
  <c r="D21" i="4" s="1"/>
  <c r="D12" i="1"/>
  <c r="D13" i="1" s="1"/>
  <c r="D28" i="1" s="1"/>
  <c r="D32" i="1" s="1"/>
  <c r="D35" i="1" s="1"/>
  <c r="F5" i="4"/>
  <c r="F9" i="4" s="1"/>
  <c r="F29" i="1"/>
  <c r="F9" i="1"/>
  <c r="F4" i="4"/>
  <c r="F33" i="1"/>
  <c r="F10" i="4"/>
  <c r="B24" i="1"/>
  <c r="C23" i="1"/>
  <c r="B20" i="1"/>
  <c r="A7" i="3" s="1"/>
  <c r="A8" i="3" s="1"/>
  <c r="C17" i="1"/>
  <c r="F6" i="4" l="1"/>
  <c r="F11" i="1"/>
  <c r="D17" i="1"/>
  <c r="C20" i="1"/>
  <c r="C24" i="1"/>
  <c r="D23" i="1"/>
  <c r="E13" i="1"/>
  <c r="E28" i="1" s="1"/>
  <c r="E32" i="1" s="1"/>
  <c r="E35" i="1" s="1"/>
  <c r="E12" i="1"/>
  <c r="E8" i="4"/>
  <c r="E12" i="4" s="1"/>
  <c r="E21" i="4" s="1"/>
  <c r="E7" i="4"/>
  <c r="E23" i="1" l="1"/>
  <c r="D24" i="1"/>
  <c r="B7" i="3"/>
  <c r="B8" i="3" s="1"/>
  <c r="D20" i="1"/>
  <c r="C7" i="3" s="1"/>
  <c r="C8" i="3" s="1"/>
  <c r="E17" i="1"/>
  <c r="F12" i="1"/>
  <c r="F13" i="1" s="1"/>
  <c r="F28" i="1" s="1"/>
  <c r="F32" i="1" s="1"/>
  <c r="F35" i="1" s="1"/>
  <c r="F7" i="4"/>
  <c r="F8" i="4" s="1"/>
  <c r="F12" i="4" s="1"/>
  <c r="F23" i="4" l="1"/>
  <c r="F24" i="4" s="1"/>
  <c r="B26" i="4" s="1"/>
  <c r="F21" i="4"/>
  <c r="E20" i="1"/>
  <c r="F17" i="1"/>
  <c r="F20" i="1" s="1"/>
  <c r="F23" i="1"/>
  <c r="F24" i="1" s="1"/>
  <c r="E24" i="1"/>
  <c r="E7" i="3" l="1"/>
  <c r="E8" i="3" s="1"/>
  <c r="D7" i="3"/>
  <c r="D8" i="3" s="1"/>
  <c r="B31" i="4"/>
  <c r="B28" i="4"/>
  <c r="B33" i="4" s="1"/>
</calcChain>
</file>

<file path=xl/sharedStrings.xml><?xml version="1.0" encoding="utf-8"?>
<sst xmlns="http://schemas.openxmlformats.org/spreadsheetml/2006/main" count="101" uniqueCount="69">
  <si>
    <t>Model Checks</t>
  </si>
  <si>
    <t>Balance Sheet Check</t>
  </si>
  <si>
    <t>Year 1</t>
  </si>
  <si>
    <t xml:space="preserve">Year 2 </t>
  </si>
  <si>
    <t xml:space="preserve">Year 3 </t>
  </si>
  <si>
    <t>Year 4</t>
  </si>
  <si>
    <t>Year 5</t>
  </si>
  <si>
    <t>Balance Sheet Difference</t>
  </si>
  <si>
    <t>Status</t>
  </si>
  <si>
    <t>Three Statement Financial Model</t>
  </si>
  <si>
    <t>Income Statement</t>
  </si>
  <si>
    <t>Year 2</t>
  </si>
  <si>
    <t>Year 3</t>
  </si>
  <si>
    <t xml:space="preserve">Revenue </t>
  </si>
  <si>
    <t>Revenue Growth</t>
  </si>
  <si>
    <t>EBITDA</t>
  </si>
  <si>
    <t>EBITDA Margin</t>
  </si>
  <si>
    <t>Depreciation</t>
  </si>
  <si>
    <t>EBIT</t>
  </si>
  <si>
    <t xml:space="preserve">Interest </t>
  </si>
  <si>
    <t>EBT</t>
  </si>
  <si>
    <t>Tax</t>
  </si>
  <si>
    <t>Net Income</t>
  </si>
  <si>
    <t>Balance Sheet</t>
  </si>
  <si>
    <t xml:space="preserve">Year 1 </t>
  </si>
  <si>
    <t>Cash</t>
  </si>
  <si>
    <t>Working Capital</t>
  </si>
  <si>
    <t>PP&amp;E</t>
  </si>
  <si>
    <t>Total Assets</t>
  </si>
  <si>
    <t>Debt</t>
  </si>
  <si>
    <t>Equity</t>
  </si>
  <si>
    <t>Total Liabilities &amp; Equity</t>
  </si>
  <si>
    <t>Cash Flow Statement</t>
  </si>
  <si>
    <t>Change in Working Capital</t>
  </si>
  <si>
    <t>Capital Expenditure</t>
  </si>
  <si>
    <t>Cash Flow From Operations</t>
  </si>
  <si>
    <t>Cash Flow from Investing</t>
  </si>
  <si>
    <t>Cash Flow From Financing</t>
  </si>
  <si>
    <t>Net Change in Cash</t>
  </si>
  <si>
    <t>Financial Model Assumptions</t>
  </si>
  <si>
    <t>Depreciation (% Revenue)</t>
  </si>
  <si>
    <t xml:space="preserve">Tax Rate </t>
  </si>
  <si>
    <t>Capex (% Revenue)</t>
  </si>
  <si>
    <t>Working Capital (% Revenue)</t>
  </si>
  <si>
    <t>Opening Cash</t>
  </si>
  <si>
    <t>Opening  Working Capital</t>
  </si>
  <si>
    <t>Opening PP&amp;E</t>
  </si>
  <si>
    <t>Opening Debt</t>
  </si>
  <si>
    <t>Opening Equity</t>
  </si>
  <si>
    <t>DCF valuation</t>
  </si>
  <si>
    <t>Tax on EBIT</t>
  </si>
  <si>
    <t>NOPAT</t>
  </si>
  <si>
    <t>Capex</t>
  </si>
  <si>
    <t>Free Cash Flow</t>
  </si>
  <si>
    <t>DCF Assumptions</t>
  </si>
  <si>
    <t>WACC</t>
  </si>
  <si>
    <t>Terminal Growth Rate</t>
  </si>
  <si>
    <t>Net Debt</t>
  </si>
  <si>
    <t>Discout Factor</t>
  </si>
  <si>
    <t>Present Value of FCF</t>
  </si>
  <si>
    <t xml:space="preserve">Terminal Value </t>
  </si>
  <si>
    <t xml:space="preserve">PV of Terminal Value </t>
  </si>
  <si>
    <t xml:space="preserve">Enterprise Value </t>
  </si>
  <si>
    <t xml:space="preserve">Less: Net Debt </t>
  </si>
  <si>
    <t xml:space="preserve">Equity Value </t>
  </si>
  <si>
    <t xml:space="preserve">DCF Summary </t>
  </si>
  <si>
    <t>Enterprise Value</t>
  </si>
  <si>
    <t xml:space="preserve">Net Debt </t>
  </si>
  <si>
    <t>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</si>
</sst>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FF"/>
      <name val="Aptos Narrow"/>
    </font>
    <font>
      <sz val="12"/>
      <color rgb="FF000000"/>
      <name val="Aptos Narrow"/>
    </font>
    <font>
      <sz val="12"/>
      <color rgb="FF008000"/>
      <name val="Aptos Narrow"/>
    </font>
    <font>
      <b/>
      <sz val="12"/>
      <color rgb="FF008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/>
    <xf numFmtId="9" fontId="2" fillId="0" borderId="0" xfId="0" applyNumberFormat="1" applyFont="1"/>
    <xf numFmtId="9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2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zoomScale="163" workbookViewId="0">
      <selection activeCell="J24" sqref="J24"/>
    </sheetView>
  </sheetViews>
  <sheetFormatPr baseColWidth="10" defaultRowHeight="16" x14ac:dyDescent="0.2"/>
  <cols>
    <col min="1" max="1" width="30" customWidth="1"/>
    <col min="6" max="6" width="13.83203125" bestFit="1" customWidth="1"/>
  </cols>
  <sheetData>
    <row r="1" spans="1:6" x14ac:dyDescent="0.2">
      <c r="A1" s="1" t="s">
        <v>9</v>
      </c>
    </row>
    <row r="3" spans="1:6" x14ac:dyDescent="0.2">
      <c r="A3" s="1" t="s">
        <v>10</v>
      </c>
      <c r="B3" s="1" t="s">
        <v>2</v>
      </c>
      <c r="C3" s="1" t="s">
        <v>11</v>
      </c>
      <c r="D3" s="1" t="s">
        <v>12</v>
      </c>
      <c r="E3" s="1" t="s">
        <v>5</v>
      </c>
      <c r="F3" s="1" t="s">
        <v>6</v>
      </c>
    </row>
    <row r="4" spans="1:6" x14ac:dyDescent="0.2">
      <c r="A4" s="1" t="s">
        <v>13</v>
      </c>
      <c r="B4" s="4">
        <v>100</v>
      </c>
      <c r="C4" s="5">
        <f>B4*(1+C5)</f>
        <v>110.00000000000001</v>
      </c>
      <c r="D4" s="6">
        <f>C4*(1+D5)</f>
        <v>118.80000000000003</v>
      </c>
      <c r="E4" s="7">
        <f>D4*(1+Models!E5)</f>
        <v>128.30400000000003</v>
      </c>
      <c r="F4" s="8">
        <f>E4*(1+F5)</f>
        <v>138.56832000000003</v>
      </c>
    </row>
    <row r="5" spans="1:6" x14ac:dyDescent="0.2">
      <c r="A5" s="1" t="s">
        <v>14</v>
      </c>
      <c r="B5" s="9">
        <v>0</v>
      </c>
      <c r="C5" s="10">
        <f>Assumptions!C3</f>
        <v>0.1</v>
      </c>
      <c r="D5" s="11">
        <f>Assumptions!D3</f>
        <v>0.08</v>
      </c>
      <c r="E5" s="7">
        <f>Assumptions!E3</f>
        <v>0.08</v>
      </c>
      <c r="F5" s="7">
        <f>Assumptions!F3</f>
        <v>0.08</v>
      </c>
    </row>
    <row r="6" spans="1:6" x14ac:dyDescent="0.2">
      <c r="A6" s="1" t="s">
        <v>15</v>
      </c>
      <c r="B6" s="5">
        <f>B4*B7</f>
        <v>20</v>
      </c>
      <c r="C6" s="5">
        <f>C4*C7</f>
        <v>23.1</v>
      </c>
      <c r="D6" s="6">
        <f>D4*D7</f>
        <v>26.136000000000006</v>
      </c>
      <c r="E6" s="8">
        <f>E4*E7</f>
        <v>28.226880000000008</v>
      </c>
      <c r="F6" s="8">
        <f>F4*F7</f>
        <v>30.485030400000007</v>
      </c>
    </row>
    <row r="7" spans="1:6" x14ac:dyDescent="0.2">
      <c r="A7" s="1" t="s">
        <v>16</v>
      </c>
      <c r="B7" s="10">
        <f>Assumptions!B4</f>
        <v>0.2</v>
      </c>
      <c r="C7" s="10">
        <f>Assumptions!C4</f>
        <v>0.21</v>
      </c>
      <c r="D7" s="11">
        <f>Assumptions!D4</f>
        <v>0.22</v>
      </c>
      <c r="E7" s="7">
        <f>Assumptions!E4</f>
        <v>0.22</v>
      </c>
      <c r="F7" s="7">
        <f>Assumptions!F4</f>
        <v>0.22</v>
      </c>
    </row>
    <row r="8" spans="1:6" x14ac:dyDescent="0.2">
      <c r="A8" s="1" t="s">
        <v>17</v>
      </c>
      <c r="B8" s="12">
        <f>B4*Assumptions!B5</f>
        <v>3</v>
      </c>
      <c r="C8" s="12">
        <f>C4*Assumptions!C5</f>
        <v>3.3000000000000003</v>
      </c>
      <c r="D8" s="11">
        <f>D4*Assumptions!D5</f>
        <v>3.5640000000000005</v>
      </c>
      <c r="E8" s="7">
        <f>E4*Assumptions!E5</f>
        <v>3.849120000000001</v>
      </c>
      <c r="F8" s="7">
        <f>F4*Assumptions!F5</f>
        <v>4.1570496000000006</v>
      </c>
    </row>
    <row r="9" spans="1:6" x14ac:dyDescent="0.2">
      <c r="A9" s="1" t="s">
        <v>18</v>
      </c>
      <c r="B9" s="5">
        <f>B6-B8</f>
        <v>17</v>
      </c>
      <c r="C9" s="5">
        <f>C6-C8</f>
        <v>19.8</v>
      </c>
      <c r="D9" s="6">
        <f>D6-D8</f>
        <v>22.572000000000006</v>
      </c>
      <c r="E9" s="8">
        <f>E6-E8</f>
        <v>24.377760000000009</v>
      </c>
      <c r="F9" s="8">
        <f>F6-F8</f>
        <v>26.327980800000006</v>
      </c>
    </row>
    <row r="10" spans="1:6" x14ac:dyDescent="0.2">
      <c r="A10" s="1" t="s">
        <v>19</v>
      </c>
      <c r="B10" s="4">
        <v>5</v>
      </c>
      <c r="C10" s="5">
        <f>B10</f>
        <v>5</v>
      </c>
      <c r="D10" s="6">
        <f>C10</f>
        <v>5</v>
      </c>
      <c r="E10" s="8">
        <f>D10</f>
        <v>5</v>
      </c>
      <c r="F10" s="8">
        <f>E10</f>
        <v>5</v>
      </c>
    </row>
    <row r="11" spans="1:6" x14ac:dyDescent="0.2">
      <c r="A11" s="1" t="s">
        <v>20</v>
      </c>
      <c r="B11" s="5">
        <f>B9-B10</f>
        <v>12</v>
      </c>
      <c r="C11" s="5">
        <f>C9-C10</f>
        <v>14.8</v>
      </c>
      <c r="D11" s="6">
        <f>D9-D10</f>
        <v>17.572000000000006</v>
      </c>
      <c r="E11" s="8">
        <f>E9-E10</f>
        <v>19.377760000000009</v>
      </c>
      <c r="F11" s="8">
        <f>F9-F10</f>
        <v>21.327980800000006</v>
      </c>
    </row>
    <row r="12" spans="1:6" x14ac:dyDescent="0.2">
      <c r="A12" s="1" t="s">
        <v>21</v>
      </c>
      <c r="B12" s="12">
        <f>B11*Assumptions!B6</f>
        <v>3</v>
      </c>
      <c r="C12" s="12">
        <f>C11*Assumptions!C6</f>
        <v>3.7</v>
      </c>
      <c r="D12" s="11">
        <f>D11*Assumptions!D6</f>
        <v>4.3930000000000016</v>
      </c>
      <c r="E12" s="7">
        <f>E11*Assumptions!E6</f>
        <v>4.8444400000000023</v>
      </c>
      <c r="F12" s="7">
        <f>F11*Assumptions!F6</f>
        <v>5.3319952000000015</v>
      </c>
    </row>
    <row r="13" spans="1:6" x14ac:dyDescent="0.2">
      <c r="A13" s="1" t="s">
        <v>22</v>
      </c>
      <c r="B13" s="5">
        <f>B11-B12</f>
        <v>9</v>
      </c>
      <c r="C13" s="5">
        <f>C11-C12</f>
        <v>11.100000000000001</v>
      </c>
      <c r="D13" s="6">
        <f>D11-D12</f>
        <v>13.179000000000006</v>
      </c>
      <c r="E13" s="8">
        <f>E11-E12</f>
        <v>14.533320000000007</v>
      </c>
      <c r="F13" s="8">
        <f>F11-F12</f>
        <v>15.995985600000004</v>
      </c>
    </row>
    <row r="16" spans="1:6" x14ac:dyDescent="0.2">
      <c r="A16" s="1" t="s">
        <v>23</v>
      </c>
      <c r="B16" t="s">
        <v>24</v>
      </c>
      <c r="C16" t="s">
        <v>11</v>
      </c>
      <c r="D16" t="s">
        <v>12</v>
      </c>
      <c r="E16" t="s">
        <v>5</v>
      </c>
      <c r="F16" t="s">
        <v>6</v>
      </c>
    </row>
    <row r="17" spans="1:6" x14ac:dyDescent="0.2">
      <c r="A17" s="1" t="s">
        <v>25</v>
      </c>
      <c r="B17" s="7">
        <f>Assumptions!B10+Models!B35</f>
        <v>28</v>
      </c>
      <c r="C17" s="8">
        <f>B17+C35</f>
        <v>37</v>
      </c>
      <c r="D17" s="8">
        <f>C17+D35</f>
        <v>48.111000000000004</v>
      </c>
      <c r="E17" s="8">
        <f>D17+E35</f>
        <v>60.410880000000006</v>
      </c>
      <c r="F17" s="8">
        <f>E17+F35</f>
        <v>73.994750400000015</v>
      </c>
    </row>
    <row r="18" spans="1:6" x14ac:dyDescent="0.2">
      <c r="A18" s="1" t="s">
        <v>26</v>
      </c>
      <c r="B18" s="12">
        <f>B4*Assumptions!B8</f>
        <v>10</v>
      </c>
      <c r="C18" s="12">
        <f>C4*Assumptions!C8</f>
        <v>11.000000000000002</v>
      </c>
      <c r="D18" s="12">
        <f>D4*Assumptions!D8</f>
        <v>11.880000000000003</v>
      </c>
      <c r="E18" s="7">
        <f>E4*Assumptions!E8</f>
        <v>12.830400000000004</v>
      </c>
      <c r="F18" s="7">
        <f>F4*Assumptions!F8</f>
        <v>13.856832000000004</v>
      </c>
    </row>
    <row r="19" spans="1:6" x14ac:dyDescent="0.2">
      <c r="A19" s="1" t="s">
        <v>27</v>
      </c>
      <c r="B19" s="7">
        <f>Assumptions!B12-Models!B31-Models!B8</f>
        <v>31</v>
      </c>
      <c r="C19" s="8">
        <f>B19-C31-C8</f>
        <v>32.1</v>
      </c>
      <c r="D19" s="8">
        <f>C19-D31-D8</f>
        <v>33.288000000000004</v>
      </c>
      <c r="E19" s="8">
        <f>D19-E31-E8</f>
        <v>34.571040000000004</v>
      </c>
      <c r="F19" s="8">
        <f>E19-F31-F8</f>
        <v>35.956723200000006</v>
      </c>
    </row>
    <row r="20" spans="1:6" x14ac:dyDescent="0.2">
      <c r="A20" s="1" t="s">
        <v>28</v>
      </c>
      <c r="B20" s="5">
        <f>SUM(B17:B19)</f>
        <v>69</v>
      </c>
      <c r="C20" s="5">
        <f>SUM(C17:C19)</f>
        <v>80.099999999999994</v>
      </c>
      <c r="D20" s="8">
        <f>SUM(D17:D19)</f>
        <v>93.279000000000011</v>
      </c>
      <c r="E20" s="8">
        <f>SUM(E17:E19)</f>
        <v>107.81232000000003</v>
      </c>
      <c r="F20" s="8">
        <f>SUM(F17:F19)</f>
        <v>123.80830560000001</v>
      </c>
    </row>
    <row r="22" spans="1:6" x14ac:dyDescent="0.2">
      <c r="A22" s="1" t="s">
        <v>29</v>
      </c>
      <c r="B22" s="4">
        <v>50</v>
      </c>
      <c r="C22" s="5">
        <f>B22</f>
        <v>50</v>
      </c>
      <c r="D22" s="5">
        <f>C22</f>
        <v>50</v>
      </c>
      <c r="E22" s="5">
        <f>D22</f>
        <v>50</v>
      </c>
      <c r="F22" s="5">
        <f>E22</f>
        <v>50</v>
      </c>
    </row>
    <row r="23" spans="1:6" x14ac:dyDescent="0.2">
      <c r="A23" s="1" t="s">
        <v>30</v>
      </c>
      <c r="B23" s="7">
        <f>Assumptions!B14+Models!B13</f>
        <v>19</v>
      </c>
      <c r="C23" s="8">
        <f>B23+C13</f>
        <v>30.1</v>
      </c>
      <c r="D23" s="8">
        <f>C23+D13</f>
        <v>43.279000000000011</v>
      </c>
      <c r="E23" s="8">
        <f>D23+E13</f>
        <v>57.812320000000014</v>
      </c>
      <c r="F23" s="8">
        <f>E23+F13</f>
        <v>73.808305600000011</v>
      </c>
    </row>
    <row r="24" spans="1:6" x14ac:dyDescent="0.2">
      <c r="A24" s="1" t="s">
        <v>31</v>
      </c>
      <c r="B24" s="5">
        <f>B22+B23</f>
        <v>69</v>
      </c>
      <c r="C24" s="5">
        <f>C22+C23</f>
        <v>80.099999999999994</v>
      </c>
      <c r="D24" s="8">
        <f>D22+D23</f>
        <v>93.279000000000011</v>
      </c>
      <c r="E24" s="8">
        <f>E22+E23</f>
        <v>107.81232000000001</v>
      </c>
      <c r="F24" s="8">
        <f>F22+F23</f>
        <v>123.80830560000001</v>
      </c>
    </row>
    <row r="27" spans="1:6" x14ac:dyDescent="0.2">
      <c r="A27" s="1" t="s">
        <v>32</v>
      </c>
      <c r="B27" t="s">
        <v>2</v>
      </c>
      <c r="C27" t="s">
        <v>11</v>
      </c>
      <c r="D27" t="s">
        <v>12</v>
      </c>
      <c r="E27" t="s">
        <v>5</v>
      </c>
      <c r="F27" t="s">
        <v>6</v>
      </c>
    </row>
    <row r="28" spans="1:6" x14ac:dyDescent="0.2">
      <c r="A28" s="1" t="s">
        <v>22</v>
      </c>
      <c r="B28" s="5">
        <f>B13</f>
        <v>9</v>
      </c>
      <c r="C28" s="5">
        <f>C13</f>
        <v>11.100000000000001</v>
      </c>
      <c r="D28" s="8">
        <f>D13</f>
        <v>13.179000000000006</v>
      </c>
      <c r="E28" s="8">
        <f>E13</f>
        <v>14.533320000000007</v>
      </c>
      <c r="F28" s="8">
        <f>F13</f>
        <v>15.995985600000004</v>
      </c>
    </row>
    <row r="29" spans="1:6" x14ac:dyDescent="0.2">
      <c r="A29" s="1" t="s">
        <v>17</v>
      </c>
      <c r="B29" s="5">
        <f>B8</f>
        <v>3</v>
      </c>
      <c r="C29" s="5">
        <f>C8</f>
        <v>3.3000000000000003</v>
      </c>
      <c r="D29" s="8">
        <f>D8</f>
        <v>3.5640000000000005</v>
      </c>
      <c r="E29" s="8">
        <f>E8</f>
        <v>3.849120000000001</v>
      </c>
      <c r="F29" s="8">
        <f>F8</f>
        <v>4.1570496000000006</v>
      </c>
    </row>
    <row r="30" spans="1:6" x14ac:dyDescent="0.2">
      <c r="A30" s="1" t="s">
        <v>33</v>
      </c>
      <c r="B30" s="7">
        <f>-(B18-Assumptions!B11)</f>
        <v>0</v>
      </c>
      <c r="C30" s="5">
        <f>-(C18-B18)</f>
        <v>-1.0000000000000018</v>
      </c>
      <c r="D30" s="5">
        <f>-(D18-C18)</f>
        <v>-0.88000000000000078</v>
      </c>
      <c r="E30" s="8">
        <f>-(E18-D18)</f>
        <v>-0.95040000000000191</v>
      </c>
      <c r="F30" s="8">
        <f>-(F18-E18)</f>
        <v>-1.0264319999999998</v>
      </c>
    </row>
    <row r="31" spans="1:6" x14ac:dyDescent="0.2">
      <c r="A31" s="1" t="s">
        <v>34</v>
      </c>
      <c r="B31" s="12">
        <f>-B4*Assumptions!B7</f>
        <v>-4</v>
      </c>
      <c r="C31" s="12">
        <f>-C4*Assumptions!C7</f>
        <v>-4.4000000000000004</v>
      </c>
      <c r="D31" s="7">
        <f>-D4*Assumptions!D7</f>
        <v>-4.7520000000000016</v>
      </c>
      <c r="E31" s="7">
        <f>-E4*Assumptions!E7</f>
        <v>-5.1321600000000016</v>
      </c>
      <c r="F31" s="7">
        <f>-F4*Assumptions!F7</f>
        <v>-5.5427328000000013</v>
      </c>
    </row>
    <row r="32" spans="1:6" x14ac:dyDescent="0.2">
      <c r="A32" s="1" t="s">
        <v>35</v>
      </c>
      <c r="B32" s="5">
        <f>B28+B29+B30</f>
        <v>12</v>
      </c>
      <c r="C32" s="5">
        <f>C28+C29+C30</f>
        <v>13.4</v>
      </c>
      <c r="D32" s="8">
        <f>D28+D29+D30</f>
        <v>15.863000000000005</v>
      </c>
      <c r="E32" s="8">
        <f>E28+E29+E30</f>
        <v>17.432040000000008</v>
      </c>
      <c r="F32" s="8">
        <f>F28+F29+F30</f>
        <v>19.126603200000005</v>
      </c>
    </row>
    <row r="33" spans="1:6" x14ac:dyDescent="0.2">
      <c r="A33" s="1" t="s">
        <v>36</v>
      </c>
      <c r="B33" s="5">
        <f>B31</f>
        <v>-4</v>
      </c>
      <c r="C33" s="5">
        <f>C31</f>
        <v>-4.4000000000000004</v>
      </c>
      <c r="D33" s="8">
        <f>D31</f>
        <v>-4.7520000000000016</v>
      </c>
      <c r="E33" s="8">
        <f>E31</f>
        <v>-5.1321600000000016</v>
      </c>
      <c r="F33" s="8">
        <f>F31</f>
        <v>-5.5427328000000013</v>
      </c>
    </row>
    <row r="34" spans="1:6" x14ac:dyDescent="0.2">
      <c r="A34" s="1" t="s">
        <v>37</v>
      </c>
      <c r="B34" s="5">
        <f>0</f>
        <v>0</v>
      </c>
      <c r="C34" s="5">
        <f>0</f>
        <v>0</v>
      </c>
      <c r="D34" s="5">
        <f>0</f>
        <v>0</v>
      </c>
      <c r="E34" s="5">
        <f>0</f>
        <v>0</v>
      </c>
      <c r="F34" s="5">
        <f>0</f>
        <v>0</v>
      </c>
    </row>
    <row r="35" spans="1:6" x14ac:dyDescent="0.2">
      <c r="A35" s="1" t="s">
        <v>38</v>
      </c>
      <c r="B35" s="5">
        <f>B32+B33+B34</f>
        <v>8</v>
      </c>
      <c r="C35" s="5">
        <f>C32+C33+C34</f>
        <v>9</v>
      </c>
      <c r="D35" s="8">
        <f>D32+D33+D34</f>
        <v>11.111000000000004</v>
      </c>
      <c r="E35" s="8">
        <f>E32+E33+E34</f>
        <v>12.299880000000005</v>
      </c>
      <c r="F35" s="8">
        <f>F32+F33+F34</f>
        <v>13.583870400000004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opLeftCell="A6" zoomScale="150" workbookViewId="0">
      <selection activeCell="B24" sqref="B24"/>
    </sheetView>
  </sheetViews>
  <sheetFormatPr baseColWidth="10" defaultRowHeight="16" x14ac:dyDescent="0.2"/>
  <cols>
    <col min="1" max="1" width="25" customWidth="1"/>
  </cols>
  <sheetData>
    <row r="1" spans="1:6" x14ac:dyDescent="0.2">
      <c r="A1" t="s">
        <v>39</v>
      </c>
    </row>
    <row r="2" spans="1:6" x14ac:dyDescent="0.2">
      <c r="A2" t="s">
        <v>14</v>
      </c>
      <c r="B2" t="s">
        <v>2</v>
      </c>
      <c r="C2" t="s">
        <v>3</v>
      </c>
      <c r="D2" t="s">
        <v>12</v>
      </c>
      <c r="E2" t="s">
        <v>5</v>
      </c>
      <c r="F2" t="s">
        <v>6</v>
      </c>
    </row>
    <row r="3" spans="1:6" x14ac:dyDescent="0.2">
      <c r="B3" s="9">
        <v>0.1</v>
      </c>
      <c r="C3" s="9">
        <v>0.1</v>
      </c>
      <c r="D3" s="9">
        <v>0.08</v>
      </c>
      <c r="E3" s="9">
        <v>0.08</v>
      </c>
      <c r="F3" s="9">
        <v>0.08</v>
      </c>
    </row>
    <row r="4" spans="1:6" x14ac:dyDescent="0.2">
      <c r="A4" t="s">
        <v>16</v>
      </c>
      <c r="B4" s="9">
        <v>0.2</v>
      </c>
      <c r="C4" s="9">
        <v>0.21</v>
      </c>
      <c r="D4" s="9">
        <v>0.22</v>
      </c>
      <c r="E4" s="9">
        <v>0.22</v>
      </c>
      <c r="F4" s="9">
        <v>0.22</v>
      </c>
    </row>
    <row r="5" spans="1:6" x14ac:dyDescent="0.2">
      <c r="A5" t="s">
        <v>40</v>
      </c>
      <c r="B5" s="9">
        <v>0.03</v>
      </c>
      <c r="C5" s="9">
        <v>0.03</v>
      </c>
      <c r="D5" s="9">
        <v>0.03</v>
      </c>
      <c r="E5" s="9">
        <v>0.03</v>
      </c>
      <c r="F5" s="9">
        <v>0.03</v>
      </c>
    </row>
    <row r="6" spans="1:6" x14ac:dyDescent="0.2">
      <c r="A6" s="1" t="s">
        <v>41</v>
      </c>
      <c r="B6" s="9">
        <v>0.25</v>
      </c>
      <c r="C6" s="9">
        <v>0.25</v>
      </c>
      <c r="D6" s="9">
        <v>0.25</v>
      </c>
      <c r="E6" s="9">
        <v>0.25</v>
      </c>
      <c r="F6" s="9">
        <v>0.25</v>
      </c>
    </row>
    <row r="7" spans="1:6" x14ac:dyDescent="0.2">
      <c r="A7" s="1" t="s">
        <v>42</v>
      </c>
      <c r="B7" s="9">
        <v>0.04</v>
      </c>
      <c r="C7" s="9">
        <v>0.04</v>
      </c>
      <c r="D7" s="9">
        <v>0.04</v>
      </c>
      <c r="E7" s="9">
        <v>0.04</v>
      </c>
      <c r="F7" s="9">
        <v>0.04</v>
      </c>
    </row>
    <row r="8" spans="1:6" x14ac:dyDescent="0.2">
      <c r="A8" s="1" t="s">
        <v>43</v>
      </c>
      <c r="B8" s="9">
        <v>0.1</v>
      </c>
      <c r="C8" s="9">
        <v>0.1</v>
      </c>
      <c r="D8" s="9">
        <v>0.1</v>
      </c>
      <c r="E8" s="9">
        <v>0.1</v>
      </c>
      <c r="F8" s="9">
        <v>0.1</v>
      </c>
    </row>
    <row r="9" spans="1:6" x14ac:dyDescent="0.2">
      <c r="A9" s="1"/>
    </row>
    <row r="10" spans="1:6" x14ac:dyDescent="0.2">
      <c r="A10" s="1" t="s">
        <v>44</v>
      </c>
      <c r="B10" s="13">
        <v>20</v>
      </c>
    </row>
    <row r="11" spans="1:6" x14ac:dyDescent="0.2">
      <c r="A11" s="1" t="s">
        <v>45</v>
      </c>
      <c r="B11" s="13">
        <v>10</v>
      </c>
    </row>
    <row r="12" spans="1:6" x14ac:dyDescent="0.2">
      <c r="A12" s="1" t="s">
        <v>46</v>
      </c>
      <c r="B12" s="13">
        <v>30</v>
      </c>
    </row>
    <row r="13" spans="1:6" x14ac:dyDescent="0.2">
      <c r="A13" s="1" t="s">
        <v>47</v>
      </c>
      <c r="B13" s="13">
        <v>50</v>
      </c>
    </row>
    <row r="14" spans="1:6" x14ac:dyDescent="0.2">
      <c r="A14" s="1" t="s">
        <v>48</v>
      </c>
      <c r="B14" s="8">
        <f>B10+B11+B12-B13</f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="135" workbookViewId="0">
      <selection activeCell="G17" sqref="G17"/>
    </sheetView>
  </sheetViews>
  <sheetFormatPr baseColWidth="10" defaultRowHeight="16" x14ac:dyDescent="0.2"/>
  <cols>
    <col min="1" max="1" width="23.1640625" customWidth="1"/>
  </cols>
  <sheetData>
    <row r="1" spans="1:6" x14ac:dyDescent="0.2">
      <c r="A1" s="1" t="s">
        <v>0</v>
      </c>
    </row>
    <row r="2" spans="1:6" x14ac:dyDescent="0.2">
      <c r="A2" s="1"/>
    </row>
    <row r="3" spans="1:6" x14ac:dyDescent="0.2">
      <c r="A3" s="1" t="s">
        <v>1</v>
      </c>
    </row>
    <row r="4" spans="1: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6" x14ac:dyDescent="0.2">
      <c r="A5" s="1" t="s">
        <v>7</v>
      </c>
    </row>
    <row r="6" spans="1:6" x14ac:dyDescent="0.2">
      <c r="A6" s="1" t="s">
        <v>8</v>
      </c>
    </row>
    <row r="7" spans="1:6" x14ac:dyDescent="0.2">
      <c r="A7" s="14">
        <f>Models!B20-Models!B24</f>
        <v>0</v>
      </c>
      <c r="B7" s="14">
        <f>Models!C20-Models!C24</f>
        <v>0</v>
      </c>
      <c r="C7" s="14">
        <f>Models!D20-Models!D24</f>
        <v>0</v>
      </c>
      <c r="D7" s="14">
        <f>Models!E20-Models!E24</f>
        <v>0</v>
      </c>
      <c r="E7" s="14">
        <f>Models!F20-Models!F24</f>
        <v>0</v>
      </c>
    </row>
    <row r="8" spans="1:6" x14ac:dyDescent="0.2">
      <c r="A8" s="15" t="str">
        <f>IF(ABS(A7)&lt;0.1,"OK","CHECK")</f>
        <v>OK</v>
      </c>
      <c r="B8" s="15" t="str">
        <f>IF(ABS(B7)&lt;0.1,"OK","CHECK")</f>
        <v>OK</v>
      </c>
      <c r="C8" s="15" t="str">
        <f>IF(ABS(C7)&lt;0.1,"OK","CHECK")</f>
        <v>OK</v>
      </c>
      <c r="D8" s="15" t="str">
        <f>IF(ABS(D7)&lt;0.1,"OK","CHECK")</f>
        <v>OK</v>
      </c>
      <c r="E8" s="15" t="str">
        <f>IF(ABS(E7)&lt;0.1,"OK","CHECK")</f>
        <v>OK</v>
      </c>
      <c r="F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tabSelected="1" zoomScale="150" workbookViewId="0">
      <selection activeCell="J22" sqref="J22"/>
    </sheetView>
  </sheetViews>
  <sheetFormatPr baseColWidth="10" defaultRowHeight="16" x14ac:dyDescent="0.2"/>
  <cols>
    <col min="1" max="1" width="22" customWidth="1"/>
    <col min="2" max="2" width="18.6640625" customWidth="1"/>
    <col min="3" max="3" width="25.33203125" customWidth="1"/>
    <col min="4" max="4" width="19" customWidth="1"/>
    <col min="5" max="6" width="16.83203125" bestFit="1" customWidth="1"/>
  </cols>
  <sheetData>
    <row r="1" spans="1:6" x14ac:dyDescent="0.2">
      <c r="A1" s="1" t="s">
        <v>49</v>
      </c>
    </row>
    <row r="2" spans="1:6" x14ac:dyDescent="0.2">
      <c r="A2" s="1"/>
      <c r="B2" s="3" t="s">
        <v>2</v>
      </c>
      <c r="C2" s="3" t="s">
        <v>11</v>
      </c>
      <c r="D2" s="3" t="s">
        <v>12</v>
      </c>
      <c r="E2" s="3" t="s">
        <v>5</v>
      </c>
      <c r="F2" s="3" t="s">
        <v>6</v>
      </c>
    </row>
    <row r="3" spans="1:6" x14ac:dyDescent="0.2">
      <c r="A3" s="1" t="s">
        <v>13</v>
      </c>
      <c r="B3" s="16">
        <f>Models!B4</f>
        <v>100</v>
      </c>
      <c r="C3" s="16">
        <f>Models!C4</f>
        <v>110.00000000000001</v>
      </c>
      <c r="D3" s="16">
        <f>Models!D4</f>
        <v>118.80000000000003</v>
      </c>
      <c r="E3" s="17">
        <f>Models!E4</f>
        <v>128.30400000000003</v>
      </c>
      <c r="F3" s="17">
        <f>Models!F4</f>
        <v>138.56832000000003</v>
      </c>
    </row>
    <row r="4" spans="1:6" x14ac:dyDescent="0.2">
      <c r="A4" s="1" t="s">
        <v>15</v>
      </c>
      <c r="B4" s="12">
        <f>Models!B6</f>
        <v>20</v>
      </c>
      <c r="C4" s="12">
        <f>Models!C6</f>
        <v>23.1</v>
      </c>
      <c r="D4" s="7">
        <f>Models!D6</f>
        <v>26.136000000000006</v>
      </c>
      <c r="E4" s="7">
        <f>Models!E6</f>
        <v>28.226880000000008</v>
      </c>
      <c r="F4" s="7">
        <f>Models!F6</f>
        <v>30.485030400000007</v>
      </c>
    </row>
    <row r="5" spans="1:6" x14ac:dyDescent="0.2">
      <c r="A5" s="1" t="s">
        <v>17</v>
      </c>
      <c r="B5" s="12">
        <f>Models!B8</f>
        <v>3</v>
      </c>
      <c r="C5" s="12">
        <f>Models!C8</f>
        <v>3.3000000000000003</v>
      </c>
      <c r="D5" s="7">
        <f>Models!D8</f>
        <v>3.5640000000000005</v>
      </c>
      <c r="E5" s="7">
        <f>Models!E8</f>
        <v>3.849120000000001</v>
      </c>
      <c r="F5" s="7">
        <f>Models!F8</f>
        <v>4.1570496000000006</v>
      </c>
    </row>
    <row r="6" spans="1:6" x14ac:dyDescent="0.2">
      <c r="A6" s="1" t="s">
        <v>18</v>
      </c>
      <c r="B6" s="12">
        <f>Models!B9</f>
        <v>17</v>
      </c>
      <c r="C6" s="12">
        <f>Models!C9</f>
        <v>19.8</v>
      </c>
      <c r="D6" s="7">
        <f>Models!D9</f>
        <v>22.572000000000006</v>
      </c>
      <c r="E6" s="7">
        <f>Models!E9</f>
        <v>24.377760000000009</v>
      </c>
      <c r="F6" s="7">
        <f>Models!F9</f>
        <v>26.327980800000006</v>
      </c>
    </row>
    <row r="7" spans="1:6" x14ac:dyDescent="0.2">
      <c r="A7" s="1" t="s">
        <v>50</v>
      </c>
      <c r="B7" s="12">
        <f>B6*Assumptions!B6</f>
        <v>4.25</v>
      </c>
      <c r="C7" s="12">
        <f>C6*Assumptions!C6</f>
        <v>4.95</v>
      </c>
      <c r="D7" s="7">
        <f>D6*Assumptions!D6</f>
        <v>5.6430000000000016</v>
      </c>
      <c r="E7" s="7">
        <f>E6*Assumptions!E6</f>
        <v>6.0944400000000023</v>
      </c>
      <c r="F7" s="7">
        <f>F6*Assumptions!F6</f>
        <v>6.5819952000000015</v>
      </c>
    </row>
    <row r="8" spans="1:6" x14ac:dyDescent="0.2">
      <c r="A8" s="1" t="s">
        <v>51</v>
      </c>
      <c r="B8" s="5">
        <f>B6-B7</f>
        <v>12.75</v>
      </c>
      <c r="C8" s="5">
        <f>C6-C7</f>
        <v>14.850000000000001</v>
      </c>
      <c r="D8" s="8">
        <f>D6-D7</f>
        <v>16.929000000000006</v>
      </c>
      <c r="E8" s="8">
        <f>E6-E7</f>
        <v>18.283320000000007</v>
      </c>
      <c r="F8" s="8">
        <f>F6-F7</f>
        <v>19.745985600000004</v>
      </c>
    </row>
    <row r="9" spans="1:6" x14ac:dyDescent="0.2">
      <c r="A9" s="1" t="s">
        <v>17</v>
      </c>
      <c r="B9" s="5">
        <f>B5</f>
        <v>3</v>
      </c>
      <c r="C9" s="5">
        <f>C5</f>
        <v>3.3000000000000003</v>
      </c>
      <c r="D9" s="8">
        <f>D5</f>
        <v>3.5640000000000005</v>
      </c>
      <c r="E9" s="8">
        <f>E5</f>
        <v>3.849120000000001</v>
      </c>
      <c r="F9" s="8">
        <f>F5</f>
        <v>4.1570496000000006</v>
      </c>
    </row>
    <row r="10" spans="1:6" x14ac:dyDescent="0.2">
      <c r="A10" s="1" t="s">
        <v>52</v>
      </c>
      <c r="B10" s="12">
        <f>Models!B31</f>
        <v>-4</v>
      </c>
      <c r="C10" s="12">
        <f>Models!C31</f>
        <v>-4.4000000000000004</v>
      </c>
      <c r="D10" s="7">
        <f>Models!D31</f>
        <v>-4.7520000000000016</v>
      </c>
      <c r="E10" s="7">
        <f>Models!E31</f>
        <v>-5.1321600000000016</v>
      </c>
      <c r="F10" s="7">
        <f>Models!F31</f>
        <v>-5.5427328000000013</v>
      </c>
    </row>
    <row r="11" spans="1:6" x14ac:dyDescent="0.2">
      <c r="A11" s="1" t="s">
        <v>33</v>
      </c>
      <c r="B11" s="7">
        <f>Models!B30</f>
        <v>0</v>
      </c>
      <c r="C11" s="7">
        <f>Models!C30</f>
        <v>-1.0000000000000018</v>
      </c>
      <c r="D11" s="7">
        <f>Models!D30</f>
        <v>-0.88000000000000078</v>
      </c>
      <c r="E11" s="7">
        <f>Models!E30</f>
        <v>-0.95040000000000191</v>
      </c>
      <c r="F11" s="7">
        <f>Models!F30</f>
        <v>-1.0264319999999998</v>
      </c>
    </row>
    <row r="12" spans="1:6" x14ac:dyDescent="0.2">
      <c r="A12" s="1" t="s">
        <v>53</v>
      </c>
      <c r="B12" s="8">
        <f>B8+B9+B10-B11</f>
        <v>11.75</v>
      </c>
      <c r="C12" s="8">
        <f>C8+C9+C10-C11</f>
        <v>14.750000000000004</v>
      </c>
      <c r="D12" s="8">
        <f>D8+D9+D10-D11</f>
        <v>16.621000000000002</v>
      </c>
      <c r="E12" s="8">
        <f>E8+E9+E10-E11</f>
        <v>17.950680000000009</v>
      </c>
      <c r="F12" s="8">
        <f>F8+F9+F10-F11</f>
        <v>19.386734400000002</v>
      </c>
    </row>
    <row r="15" spans="1:6" x14ac:dyDescent="0.2">
      <c r="A15" s="1" t="s">
        <v>54</v>
      </c>
    </row>
    <row r="16" spans="1:6" x14ac:dyDescent="0.2">
      <c r="A16" s="1" t="s">
        <v>55</v>
      </c>
      <c r="B16" s="9">
        <v>0.1</v>
      </c>
    </row>
    <row r="17" spans="1:6" x14ac:dyDescent="0.2">
      <c r="A17" s="1" t="s">
        <v>56</v>
      </c>
      <c r="B17" s="18">
        <v>2.5000000000000001E-2</v>
      </c>
    </row>
    <row r="18" spans="1:6" x14ac:dyDescent="0.2">
      <c r="A18" s="1" t="s">
        <v>57</v>
      </c>
      <c r="B18" s="4">
        <v>30</v>
      </c>
    </row>
    <row r="20" spans="1:6" x14ac:dyDescent="0.2">
      <c r="A20" s="1" t="s">
        <v>58</v>
      </c>
      <c r="B20" s="8">
        <f>1/(1+$B$16)^1</f>
        <v>0.90909090909090906</v>
      </c>
      <c r="C20" s="8">
        <f>1/(1+$B$16)^2</f>
        <v>0.82644628099173545</v>
      </c>
      <c r="D20" s="8">
        <f>1/(1+$B$16)^3</f>
        <v>0.75131480090157754</v>
      </c>
      <c r="E20" s="8">
        <f>1/(1+$B$16)^4</f>
        <v>0.68301345536507052</v>
      </c>
      <c r="F20" s="8">
        <f>1/(1+$B$16)^5</f>
        <v>0.62092132305915493</v>
      </c>
    </row>
    <row r="21" spans="1:6" x14ac:dyDescent="0.2">
      <c r="A21" s="1" t="s">
        <v>59</v>
      </c>
      <c r="B21" s="8">
        <f>B12*B20</f>
        <v>10.681818181818182</v>
      </c>
      <c r="C21" s="8">
        <f>C12*C20</f>
        <v>12.190082644628101</v>
      </c>
      <c r="D21" s="8">
        <f>D12*D20</f>
        <v>12.487603305785122</v>
      </c>
      <c r="E21" s="8">
        <f>E12*E20</f>
        <v>12.26055597295267</v>
      </c>
      <c r="F21" s="8">
        <f>F12*F20</f>
        <v>12.037636773444433</v>
      </c>
    </row>
    <row r="23" spans="1:6" x14ac:dyDescent="0.2">
      <c r="A23" s="1" t="s">
        <v>60</v>
      </c>
      <c r="F23" s="8">
        <f>F12*(1+$B$17)/($B$16-$B$17)</f>
        <v>264.95203679999992</v>
      </c>
    </row>
    <row r="24" spans="1:6" x14ac:dyDescent="0.2">
      <c r="A24" s="1" t="s">
        <v>61</v>
      </c>
      <c r="F24" s="8">
        <f>F23*F20</f>
        <v>164.51436923707385</v>
      </c>
    </row>
    <row r="26" spans="1:6" x14ac:dyDescent="0.2">
      <c r="A26" s="1" t="s">
        <v>62</v>
      </c>
      <c r="B26" s="8">
        <f>SUM(B21:F21)+F24</f>
        <v>224.17206611570236</v>
      </c>
    </row>
    <row r="27" spans="1:6" x14ac:dyDescent="0.2">
      <c r="A27" s="1" t="s">
        <v>63</v>
      </c>
      <c r="B27" s="5">
        <f>B18</f>
        <v>30</v>
      </c>
    </row>
    <row r="28" spans="1:6" x14ac:dyDescent="0.2">
      <c r="A28" s="1" t="s">
        <v>64</v>
      </c>
      <c r="B28" s="8">
        <f>B26-B27</f>
        <v>194.17206611570236</v>
      </c>
    </row>
    <row r="30" spans="1:6" x14ac:dyDescent="0.2">
      <c r="A30" s="1" t="s">
        <v>65</v>
      </c>
    </row>
    <row r="31" spans="1:6" x14ac:dyDescent="0.2">
      <c r="A31" s="1" t="s">
        <v>66</v>
      </c>
      <c r="B31" s="8">
        <f>B26</f>
        <v>224.17206611570236</v>
      </c>
    </row>
    <row r="32" spans="1:6" x14ac:dyDescent="0.2">
      <c r="A32" s="1" t="s">
        <v>67</v>
      </c>
      <c r="B32" s="5">
        <f>B27</f>
        <v>30</v>
      </c>
    </row>
    <row r="33" spans="1:2" x14ac:dyDescent="0.2">
      <c r="A33" s="1" t="s">
        <v>68</v>
      </c>
      <c r="B33" s="8">
        <f>B28</f>
        <v>194.17206611570236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Models</vt:lpstr>
      <vt:lpstr>Assumptions</vt:lpstr>
      <vt:lpstr>Checks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2026-09-24T19:28:51Z</dcterms:created>
  <dcterms:modified xsi:type="dcterms:W3CDTF">2026-09-25T18:00:13Z</dcterms:modified>
</cp:coreProperties>
</file>